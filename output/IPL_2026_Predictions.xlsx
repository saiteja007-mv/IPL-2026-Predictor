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s\IPL 2026\output\"/>
    </mc:Choice>
  </mc:AlternateContent>
  <xr:revisionPtr revIDLastSave="0" documentId="13_ncr:1_{4D4BE02D-5470-4680-9993-021B1E1B9EE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edictions Tracker" sheetId="1" r:id="rId1"/>
    <sheet name="Lists" sheetId="2" state="hidden" r:id="rId2"/>
    <sheet name="Summary" sheetId="3" r:id="rId3"/>
    <sheet name="Claude Log" sheetId="4" r:id="rId4"/>
  </sheets>
  <definedNames>
    <definedName name="_xlnm._FilterDatabase" localSheetId="0" hidden="1">'Predictions Tracker'!$A$1:$I$1</definedName>
    <definedName name="TeamsList">Lists!$A$1:$A$10</definedName>
    <definedName name="VenuesList">Lists!$B$1:$B$13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3" i="3"/>
  <c r="B2" i="3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B7" i="3" l="1"/>
  <c r="B6" i="3"/>
  <c r="B5" i="3"/>
</calcChain>
</file>

<file path=xl/sharedStrings.xml><?xml version="1.0" encoding="utf-8"?>
<sst xmlns="http://schemas.openxmlformats.org/spreadsheetml/2006/main" count="164" uniqueCount="59">
  <si>
    <t>Match #</t>
  </si>
  <si>
    <t>Date</t>
  </si>
  <si>
    <t>Team 1</t>
  </si>
  <si>
    <t>Team 2</t>
  </si>
  <si>
    <t>Venue</t>
  </si>
  <si>
    <t>Toss Win</t>
  </si>
  <si>
    <t>Toss Decision</t>
  </si>
  <si>
    <t>Predicted Win</t>
  </si>
  <si>
    <t>Match Result</t>
  </si>
  <si>
    <t>No Result</t>
  </si>
  <si>
    <t>MI</t>
  </si>
  <si>
    <t>Wankhede Stadium</t>
  </si>
  <si>
    <t>CSK</t>
  </si>
  <si>
    <t>MA Chidambaram Stadium</t>
  </si>
  <si>
    <t>RCB</t>
  </si>
  <si>
    <t>M Chinnaswamy Stadium</t>
  </si>
  <si>
    <t>KKR</t>
  </si>
  <si>
    <t>Eden Gardens</t>
  </si>
  <si>
    <t>DC</t>
  </si>
  <si>
    <t>Arun Jaitley Stadium</t>
  </si>
  <si>
    <t>SRH</t>
  </si>
  <si>
    <t>Rajiv Gandhi Intl Stadium</t>
  </si>
  <si>
    <t>RR</t>
  </si>
  <si>
    <t>Sawai Mansingh Stadium</t>
  </si>
  <si>
    <t>PK</t>
  </si>
  <si>
    <t>Maharaja Yadavindra Singh Stadium</t>
  </si>
  <si>
    <t>LSG</t>
  </si>
  <si>
    <t>BRSABV Ekana Cricket Stadium</t>
  </si>
  <si>
    <t>GT</t>
  </si>
  <si>
    <t>Narendra Modi Stadium</t>
  </si>
  <si>
    <t>SVNS Intl Cricket Stadium</t>
  </si>
  <si>
    <t>HPCA Cricket Stadium</t>
  </si>
  <si>
    <t>ACA Cricket Stadium</t>
  </si>
  <si>
    <t>Metric</t>
  </si>
  <si>
    <t>Value</t>
  </si>
  <si>
    <t>Total Matches Logged</t>
  </si>
  <si>
    <t>Results Entered</t>
  </si>
  <si>
    <t>Correct Predictions</t>
  </si>
  <si>
    <t>Wrong Predictions</t>
  </si>
  <si>
    <t>Accuracy %</t>
  </si>
  <si>
    <t>Pending Results</t>
  </si>
  <si>
    <t>Field</t>
  </si>
  <si>
    <t>Turn #</t>
  </si>
  <si>
    <t>User Request</t>
  </si>
  <si>
    <t>Action Taken</t>
  </si>
  <si>
    <t>Details</t>
  </si>
  <si>
    <t>Outcome</t>
  </si>
  <si>
    <t>Make the table beautiful in formatting (Predictions Tracker sheet)</t>
  </si>
  <si>
    <t>Applied full visual redesign: header, row banding, column widths, borders, conditional formatting</t>
  </si>
  <si>
    <t>Deep navy header (#0D3B66) with gold accent underline, alternating row bands (white/#EEF4FB), bold match # column, medium outer border, light inner grid. Conditional formatting: green=correct prediction, red=wrong, gold=No Result, yellow highlight=upcoming match. Froze header row.</t>
  </si>
  <si>
    <t>Predictions Tracker A1:I79 now has a polished IPL-themed design with automatic color-coding for results</t>
  </si>
  <si>
    <t>Yellow cells appearing in empty rows — asked to remove them</t>
  </si>
  <si>
    <t>Removed 'upcoming match' yellow conditional format rule from A2:I79</t>
  </si>
  <si>
    <t>Cleared all CF from A2:I79, then re-applied only the 3 result-based rules (green/red/gold) scoped to I2:I79</t>
  </si>
  <si>
    <t>Empty rows now show clean white/blue banding; yellow completely gone</t>
  </si>
  <si>
    <t>Format the Summary sheet table to match the Predictions Tracker style</t>
  </si>
  <si>
    <t>Applied navy/gold header, alternating row banding, special row highlights, column widths, and matching borders</t>
  </si>
  <si>
    <t>Header: #0D3B66 navy + gold accent border. Labels: bold navy on soft blue. Correct Predictions=green, Wrong=red, Accuracy=gold. Outer border medium navy, inner grid light gray. Accuracy % formatted as 0.0%.</t>
  </si>
  <si>
    <t>Summary sheet now visually consistent with Predictions Tracker — clean, color-coded scoreboard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</si>
</sst>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&quot;%&quot;"/>
  </numFmts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006100"/>
      <name val="Calibri"/>
      <scheme val="minor"/>
    </font>
    <font>
      <sz val="11"/>
      <color rgb="FF1A1A2E"/>
      <name val="Calibri"/>
      <scheme val="minor"/>
    </font>
    <font>
      <b/>
      <sz val="11"/>
      <color rgb="FF0D3B66"/>
      <name val="Calibri"/>
      <scheme val="minor"/>
    </font>
    <font>
      <b/>
      <sz val="11"/>
      <color rgb="FFFFFFFF"/>
      <name val="Calibri"/>
      <family val="2"/>
      <scheme val="minor"/>
    </font>
    <font>
      <b/>
      <sz val="11"/>
      <color rgb="FF0D3B66"/>
      <name val="Calibri"/>
    </font>
    <font>
      <b/>
      <sz val="11"/>
      <color rgb="FF9C0006"/>
      <name val="Calibri"/>
      <scheme val="minor"/>
    </font>
    <font>
      <b/>
      <sz val="11"/>
      <color rgb="FF7D5A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D3B66"/>
        <bgColor indexed="64"/>
      </patternFill>
    </fill>
    <fill>
      <patternFill patternType="solid">
        <fgColor rgb="FFEEF4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8F0FB"/>
        <bgColor indexed="64"/>
      </patternFill>
    </fill>
    <fill>
      <patternFill patternType="solid">
        <fgColor rgb="FFFFE4E4"/>
        <bgColor indexed="64"/>
      </patternFill>
    </fill>
    <fill>
      <patternFill patternType="solid">
        <fgColor rgb="FFFFF3CD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0D3B66"/>
      </bottom>
      <diagonal/>
    </border>
    <border>
      <left style="thin">
        <color rgb="FF0D3B66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D3B66"/>
      </left>
      <right style="thin">
        <color rgb="FFCBD5E0"/>
      </right>
      <top style="thin">
        <color rgb="FFCBD5E0"/>
      </top>
      <bottom style="thin">
        <color rgb="FF0D3B66"/>
      </bottom>
      <diagonal/>
    </border>
    <border>
      <left style="thin">
        <color rgb="FFCBD5E0"/>
      </left>
      <right style="thin">
        <color rgb="FF0D3B66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0D3B66"/>
      </right>
      <top style="thin">
        <color rgb="FFCBD5E0"/>
      </top>
      <bottom style="thin">
        <color rgb="FF0D3B66"/>
      </bottom>
      <diagonal/>
    </border>
    <border>
      <left style="thin">
        <color rgb="FF0D3B66"/>
      </left>
      <right style="thin">
        <color rgb="FFCBD5E0"/>
      </right>
      <top/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 style="thin">
        <color rgb="FFCBD5E0"/>
      </left>
      <right style="thin">
        <color rgb="FF0D3B66"/>
      </right>
      <top/>
      <bottom style="thin">
        <color rgb="FFCBD5E0"/>
      </bottom>
      <diagonal/>
    </border>
    <border>
      <left style="thin">
        <color rgb="FF0D3B66"/>
      </left>
      <right style="thin">
        <color rgb="FFCBD5E0"/>
      </right>
      <top style="thin">
        <color rgb="FF0D3B66"/>
      </top>
      <bottom style="medium">
        <color rgb="FFFAB005"/>
      </bottom>
      <diagonal/>
    </border>
    <border>
      <left style="thin">
        <color rgb="FFCBD5E0"/>
      </left>
      <right style="thin">
        <color rgb="FFCBD5E0"/>
      </right>
      <top style="thin">
        <color rgb="FF0D3B66"/>
      </top>
      <bottom style="medium">
        <color rgb="FFFAB005"/>
      </bottom>
      <diagonal/>
    </border>
    <border>
      <left style="thin">
        <color rgb="FFCBD5E0"/>
      </left>
      <right style="thin">
        <color rgb="FF0D3B66"/>
      </right>
      <top style="thin">
        <color rgb="FF0D3B66"/>
      </top>
      <bottom style="medium">
        <color rgb="FFFAB005"/>
      </bottom>
      <diagonal/>
    </border>
    <border>
      <left style="thin">
        <color rgb="FF0D3B66"/>
      </left>
      <right style="thin">
        <color rgb="FFCBD5E0"/>
      </right>
      <top style="thin">
        <color rgb="FF0D3B66"/>
      </top>
      <bottom style="medium">
        <color rgb="FFCBD5E0"/>
      </bottom>
      <diagonal/>
    </border>
    <border>
      <left style="thin">
        <color rgb="FFCBD5E0"/>
      </left>
      <right style="thin">
        <color rgb="FF0D3B66"/>
      </right>
      <top style="thin">
        <color rgb="FF0D3B66"/>
      </top>
      <bottom style="medium">
        <color rgb="FFCBD5E0"/>
      </bottom>
      <diagonal/>
    </border>
    <border>
      <left style="thin">
        <color rgb="FF0D3B66"/>
      </left>
      <right style="thin">
        <color rgb="FFCBD5E0"/>
      </right>
      <top style="medium">
        <color rgb="FFCBD5E0"/>
      </top>
      <bottom style="medium">
        <color rgb="FFCBD5E0"/>
      </bottom>
      <diagonal/>
    </border>
    <border>
      <left style="thin">
        <color rgb="FFCBD5E0"/>
      </left>
      <right style="thin">
        <color rgb="FF0D3B66"/>
      </right>
      <top style="medium">
        <color rgb="FFCBD5E0"/>
      </top>
      <bottom style="medium">
        <color rgb="FFCBD5E0"/>
      </bottom>
      <diagonal/>
    </border>
    <border>
      <left style="thin">
        <color rgb="FF0D3B66"/>
      </left>
      <right style="thin">
        <color rgb="FFCBD5E0"/>
      </right>
      <top style="medium">
        <color rgb="FFCBD5E0"/>
      </top>
      <bottom style="thin">
        <color rgb="FF0D3B66"/>
      </bottom>
      <diagonal/>
    </border>
    <border>
      <left style="thin">
        <color rgb="FFCBD5E0"/>
      </left>
      <right style="thin">
        <color rgb="FF0D3B66"/>
      </right>
      <top style="medium">
        <color rgb="FFCBD5E0"/>
      </top>
      <bottom style="thin">
        <color rgb="FF0D3B6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64" fontId="3" fillId="3" borderId="9" xfId="0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14" fontId="0" fillId="0" borderId="0" xfId="0" applyNumberFormat="1"/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left" vertical="center" indent="1"/>
    </xf>
    <xf numFmtId="0" fontId="3" fillId="4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left" vertical="center" indent="1"/>
    </xf>
    <xf numFmtId="0" fontId="2" fillId="5" borderId="17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left" vertical="center" indent="1"/>
    </xf>
    <xf numFmtId="0" fontId="7" fillId="7" borderId="17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left" vertical="center" indent="1"/>
    </xf>
    <xf numFmtId="165" fontId="8" fillId="8" borderId="17" xfId="0" applyNumberFormat="1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left" vertical="center" indent="1"/>
    </xf>
    <xf numFmtId="0" fontId="3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 val="0"/>
        <i val="0"/>
        <color rgb="FF7D5A00"/>
      </font>
      <fill>
        <patternFill patternType="solid">
          <fgColor indexed="64"/>
          <bgColor rgb="FFFFF3CD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C20339-5057-4F77-9D93-66EB74F758F5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4.5" x14ac:dyDescent="0.35"/>
  <cols>
    <col min="1" max="1" width="12.7265625" customWidth="1"/>
    <col min="2" max="2" width="19.08984375" customWidth="1"/>
    <col min="3" max="4" width="14.54296875" customWidth="1"/>
    <col min="5" max="5" width="35.453125" customWidth="1"/>
    <col min="6" max="6" width="16.36328125" customWidth="1"/>
    <col min="7" max="7" width="20" customWidth="1"/>
    <col min="8" max="8" width="19.08984375" customWidth="1"/>
    <col min="9" max="9" width="20.90625" customWidth="1"/>
    <col min="10" max="12" width="13" hidden="1" customWidth="1"/>
  </cols>
  <sheetData>
    <row r="1" spans="1:12" ht="36" customHeight="1" thickBot="1" x14ac:dyDescent="0.4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20" t="s">
        <v>8</v>
      </c>
    </row>
    <row r="2" spans="1:12" ht="22" customHeight="1" x14ac:dyDescent="0.35">
      <c r="A2" s="15">
        <v>1</v>
      </c>
      <c r="B2" s="16">
        <v>46109</v>
      </c>
      <c r="C2" s="17" t="s">
        <v>14</v>
      </c>
      <c r="D2" s="17" t="s">
        <v>20</v>
      </c>
      <c r="E2" s="17" t="s">
        <v>15</v>
      </c>
      <c r="F2" s="17" t="s">
        <v>14</v>
      </c>
      <c r="G2" s="17" t="s">
        <v>41</v>
      </c>
      <c r="H2" s="17" t="s">
        <v>14</v>
      </c>
      <c r="I2" s="21" t="s">
        <v>14</v>
      </c>
      <c r="J2" t="str">
        <f t="shared" ref="J2:J33" si="0">C2</f>
        <v>RCB</v>
      </c>
      <c r="K2" t="str">
        <f t="shared" ref="K2:K33" si="1">D2</f>
        <v>SRH</v>
      </c>
      <c r="L2" t="s">
        <v>9</v>
      </c>
    </row>
    <row r="3" spans="1:12" ht="22" customHeight="1" x14ac:dyDescent="0.35">
      <c r="A3" s="10">
        <v>2</v>
      </c>
      <c r="B3" s="5">
        <v>46110</v>
      </c>
      <c r="C3" s="6" t="s">
        <v>16</v>
      </c>
      <c r="D3" s="6" t="s">
        <v>10</v>
      </c>
      <c r="E3" s="6" t="s">
        <v>11</v>
      </c>
      <c r="F3" s="6" t="s">
        <v>10</v>
      </c>
      <c r="G3" s="6" t="s">
        <v>41</v>
      </c>
      <c r="H3" s="6" t="s">
        <v>10</v>
      </c>
      <c r="I3" s="22" t="s">
        <v>10</v>
      </c>
      <c r="J3" t="str">
        <f t="shared" si="0"/>
        <v>KKR</v>
      </c>
      <c r="K3" t="str">
        <f t="shared" si="1"/>
        <v>MI</v>
      </c>
      <c r="L3" t="s">
        <v>9</v>
      </c>
    </row>
    <row r="4" spans="1:12" ht="22" customHeight="1" x14ac:dyDescent="0.35">
      <c r="A4" s="9">
        <v>3</v>
      </c>
      <c r="B4" s="3">
        <v>46111</v>
      </c>
      <c r="C4" s="4" t="s">
        <v>12</v>
      </c>
      <c r="D4" s="4" t="s">
        <v>22</v>
      </c>
      <c r="E4" s="4" t="s">
        <v>32</v>
      </c>
      <c r="F4" s="4" t="s">
        <v>22</v>
      </c>
      <c r="G4" s="4" t="s">
        <v>41</v>
      </c>
      <c r="H4" s="4" t="s">
        <v>22</v>
      </c>
      <c r="I4" s="22" t="s">
        <v>22</v>
      </c>
      <c r="J4" t="str">
        <f t="shared" si="0"/>
        <v>CSK</v>
      </c>
      <c r="K4" t="str">
        <f t="shared" si="1"/>
        <v>RR</v>
      </c>
      <c r="L4" t="s">
        <v>9</v>
      </c>
    </row>
    <row r="5" spans="1:12" ht="22" customHeight="1" x14ac:dyDescent="0.35">
      <c r="A5" s="10">
        <v>4</v>
      </c>
      <c r="B5" s="5">
        <v>46112</v>
      </c>
      <c r="C5" s="6" t="s">
        <v>24</v>
      </c>
      <c r="D5" s="6" t="s">
        <v>28</v>
      </c>
      <c r="E5" s="6" t="s">
        <v>31</v>
      </c>
      <c r="F5" s="6" t="s">
        <v>28</v>
      </c>
      <c r="G5" s="6" t="s">
        <v>41</v>
      </c>
      <c r="H5" s="6" t="s">
        <v>24</v>
      </c>
      <c r="I5" s="13"/>
      <c r="J5" t="str">
        <f t="shared" si="0"/>
        <v>PK</v>
      </c>
      <c r="K5" t="str">
        <f t="shared" si="1"/>
        <v>GT</v>
      </c>
      <c r="L5" t="s">
        <v>9</v>
      </c>
    </row>
    <row r="6" spans="1:12" ht="22" customHeight="1" x14ac:dyDescent="0.35">
      <c r="A6" s="9">
        <v>5</v>
      </c>
      <c r="B6" s="3"/>
      <c r="C6" s="4"/>
      <c r="D6" s="4"/>
      <c r="E6" s="4"/>
      <c r="F6" s="4"/>
      <c r="G6" s="4"/>
      <c r="H6" s="4"/>
      <c r="I6" s="12"/>
      <c r="J6">
        <f t="shared" si="0"/>
        <v>0</v>
      </c>
      <c r="K6">
        <f t="shared" si="1"/>
        <v>0</v>
      </c>
      <c r="L6" t="s">
        <v>9</v>
      </c>
    </row>
    <row r="7" spans="1:12" ht="22" customHeight="1" x14ac:dyDescent="0.35">
      <c r="A7" s="10">
        <v>6</v>
      </c>
      <c r="B7" s="5"/>
      <c r="C7" s="6"/>
      <c r="D7" s="6"/>
      <c r="E7" s="6"/>
      <c r="F7" s="6"/>
      <c r="G7" s="6"/>
      <c r="H7" s="6"/>
      <c r="I7" s="13"/>
      <c r="J7">
        <f t="shared" si="0"/>
        <v>0</v>
      </c>
      <c r="K7">
        <f t="shared" si="1"/>
        <v>0</v>
      </c>
      <c r="L7" t="s">
        <v>9</v>
      </c>
    </row>
    <row r="8" spans="1:12" ht="22" customHeight="1" x14ac:dyDescent="0.35">
      <c r="A8" s="9">
        <v>7</v>
      </c>
      <c r="B8" s="3"/>
      <c r="C8" s="4"/>
      <c r="D8" s="4"/>
      <c r="E8" s="4"/>
      <c r="F8" s="4"/>
      <c r="G8" s="4"/>
      <c r="H8" s="4"/>
      <c r="I8" s="12"/>
      <c r="J8">
        <f t="shared" si="0"/>
        <v>0</v>
      </c>
      <c r="K8">
        <f t="shared" si="1"/>
        <v>0</v>
      </c>
      <c r="L8" t="s">
        <v>9</v>
      </c>
    </row>
    <row r="9" spans="1:12" ht="22" customHeight="1" x14ac:dyDescent="0.35">
      <c r="A9" s="10">
        <v>8</v>
      </c>
      <c r="B9" s="5"/>
      <c r="C9" s="6"/>
      <c r="D9" s="6"/>
      <c r="E9" s="6"/>
      <c r="F9" s="6"/>
      <c r="G9" s="6"/>
      <c r="H9" s="6"/>
      <c r="I9" s="13"/>
      <c r="J9">
        <f t="shared" si="0"/>
        <v>0</v>
      </c>
      <c r="K9">
        <f t="shared" si="1"/>
        <v>0</v>
      </c>
      <c r="L9" t="s">
        <v>9</v>
      </c>
    </row>
    <row r="10" spans="1:12" ht="22" customHeight="1" x14ac:dyDescent="0.35">
      <c r="A10" s="9">
        <v>9</v>
      </c>
      <c r="B10" s="3"/>
      <c r="C10" s="4"/>
      <c r="D10" s="4"/>
      <c r="E10" s="4"/>
      <c r="F10" s="4"/>
      <c r="G10" s="4"/>
      <c r="H10" s="4"/>
      <c r="I10" s="12"/>
      <c r="J10">
        <f t="shared" si="0"/>
        <v>0</v>
      </c>
      <c r="K10">
        <f t="shared" si="1"/>
        <v>0</v>
      </c>
      <c r="L10" t="s">
        <v>9</v>
      </c>
    </row>
    <row r="11" spans="1:12" ht="22" customHeight="1" x14ac:dyDescent="0.35">
      <c r="A11" s="10">
        <v>10</v>
      </c>
      <c r="B11" s="5"/>
      <c r="C11" s="6"/>
      <c r="D11" s="6"/>
      <c r="E11" s="6"/>
      <c r="F11" s="6"/>
      <c r="G11" s="6"/>
      <c r="H11" s="6"/>
      <c r="I11" s="13"/>
      <c r="J11">
        <f t="shared" si="0"/>
        <v>0</v>
      </c>
      <c r="K11">
        <f t="shared" si="1"/>
        <v>0</v>
      </c>
      <c r="L11" t="s">
        <v>9</v>
      </c>
    </row>
    <row r="12" spans="1:12" ht="22" customHeight="1" x14ac:dyDescent="0.35">
      <c r="A12" s="9">
        <v>11</v>
      </c>
      <c r="B12" s="3"/>
      <c r="C12" s="4"/>
      <c r="D12" s="4"/>
      <c r="E12" s="4"/>
      <c r="F12" s="4"/>
      <c r="G12" s="4"/>
      <c r="H12" s="4"/>
      <c r="I12" s="12"/>
      <c r="J12">
        <f t="shared" si="0"/>
        <v>0</v>
      </c>
      <c r="K12">
        <f t="shared" si="1"/>
        <v>0</v>
      </c>
      <c r="L12" t="s">
        <v>9</v>
      </c>
    </row>
    <row r="13" spans="1:12" ht="22" customHeight="1" x14ac:dyDescent="0.35">
      <c r="A13" s="10">
        <v>12</v>
      </c>
      <c r="B13" s="5"/>
      <c r="C13" s="6"/>
      <c r="D13" s="6"/>
      <c r="E13" s="6"/>
      <c r="F13" s="6"/>
      <c r="G13" s="6"/>
      <c r="H13" s="6"/>
      <c r="I13" s="13"/>
      <c r="J13">
        <f t="shared" si="0"/>
        <v>0</v>
      </c>
      <c r="K13">
        <f t="shared" si="1"/>
        <v>0</v>
      </c>
      <c r="L13" t="s">
        <v>9</v>
      </c>
    </row>
    <row r="14" spans="1:12" ht="22" customHeight="1" x14ac:dyDescent="0.35">
      <c r="A14" s="9">
        <v>13</v>
      </c>
      <c r="B14" s="3"/>
      <c r="C14" s="4"/>
      <c r="D14" s="4"/>
      <c r="E14" s="4"/>
      <c r="F14" s="4"/>
      <c r="G14" s="4"/>
      <c r="H14" s="4"/>
      <c r="I14" s="12"/>
      <c r="J14">
        <f t="shared" si="0"/>
        <v>0</v>
      </c>
      <c r="K14">
        <f t="shared" si="1"/>
        <v>0</v>
      </c>
      <c r="L14" t="s">
        <v>9</v>
      </c>
    </row>
    <row r="15" spans="1:12" ht="22" customHeight="1" x14ac:dyDescent="0.35">
      <c r="A15" s="10">
        <v>14</v>
      </c>
      <c r="B15" s="5"/>
      <c r="C15" s="6"/>
      <c r="D15" s="6"/>
      <c r="E15" s="6"/>
      <c r="F15" s="6"/>
      <c r="G15" s="6"/>
      <c r="H15" s="6"/>
      <c r="I15" s="13"/>
      <c r="J15">
        <f t="shared" si="0"/>
        <v>0</v>
      </c>
      <c r="K15">
        <f t="shared" si="1"/>
        <v>0</v>
      </c>
      <c r="L15" t="s">
        <v>9</v>
      </c>
    </row>
    <row r="16" spans="1:12" ht="22" customHeight="1" x14ac:dyDescent="0.35">
      <c r="A16" s="9">
        <v>15</v>
      </c>
      <c r="B16" s="3"/>
      <c r="C16" s="4"/>
      <c r="D16" s="4"/>
      <c r="E16" s="4"/>
      <c r="F16" s="4"/>
      <c r="G16" s="4"/>
      <c r="H16" s="4"/>
      <c r="I16" s="12"/>
      <c r="J16">
        <f t="shared" si="0"/>
        <v>0</v>
      </c>
      <c r="K16">
        <f t="shared" si="1"/>
        <v>0</v>
      </c>
      <c r="L16" t="s">
        <v>9</v>
      </c>
    </row>
    <row r="17" spans="1:12" ht="22" customHeight="1" x14ac:dyDescent="0.35">
      <c r="A17" s="10">
        <v>16</v>
      </c>
      <c r="B17" s="5"/>
      <c r="C17" s="6"/>
      <c r="D17" s="6"/>
      <c r="E17" s="6"/>
      <c r="F17" s="6"/>
      <c r="G17" s="6"/>
      <c r="H17" s="6"/>
      <c r="I17" s="13"/>
      <c r="J17">
        <f t="shared" si="0"/>
        <v>0</v>
      </c>
      <c r="K17">
        <f t="shared" si="1"/>
        <v>0</v>
      </c>
      <c r="L17" t="s">
        <v>9</v>
      </c>
    </row>
    <row r="18" spans="1:12" ht="22" customHeight="1" x14ac:dyDescent="0.35">
      <c r="A18" s="9">
        <v>17</v>
      </c>
      <c r="B18" s="3"/>
      <c r="C18" s="4"/>
      <c r="D18" s="4"/>
      <c r="E18" s="4"/>
      <c r="F18" s="4"/>
      <c r="G18" s="4"/>
      <c r="H18" s="4"/>
      <c r="I18" s="12"/>
      <c r="J18">
        <f t="shared" si="0"/>
        <v>0</v>
      </c>
      <c r="K18">
        <f t="shared" si="1"/>
        <v>0</v>
      </c>
      <c r="L18" t="s">
        <v>9</v>
      </c>
    </row>
    <row r="19" spans="1:12" ht="22" customHeight="1" x14ac:dyDescent="0.35">
      <c r="A19" s="10">
        <v>18</v>
      </c>
      <c r="B19" s="5"/>
      <c r="C19" s="6"/>
      <c r="D19" s="6"/>
      <c r="E19" s="6"/>
      <c r="F19" s="6"/>
      <c r="G19" s="6"/>
      <c r="H19" s="6"/>
      <c r="I19" s="13"/>
      <c r="J19">
        <f t="shared" si="0"/>
        <v>0</v>
      </c>
      <c r="K19">
        <f t="shared" si="1"/>
        <v>0</v>
      </c>
      <c r="L19" t="s">
        <v>9</v>
      </c>
    </row>
    <row r="20" spans="1:12" ht="22" customHeight="1" x14ac:dyDescent="0.35">
      <c r="A20" s="9">
        <v>19</v>
      </c>
      <c r="B20" s="3"/>
      <c r="C20" s="4"/>
      <c r="D20" s="4"/>
      <c r="E20" s="4"/>
      <c r="F20" s="4"/>
      <c r="G20" s="4"/>
      <c r="H20" s="4"/>
      <c r="I20" s="12"/>
      <c r="J20">
        <f t="shared" si="0"/>
        <v>0</v>
      </c>
      <c r="K20">
        <f t="shared" si="1"/>
        <v>0</v>
      </c>
      <c r="L20" t="s">
        <v>9</v>
      </c>
    </row>
    <row r="21" spans="1:12" ht="22" customHeight="1" x14ac:dyDescent="0.35">
      <c r="A21" s="10">
        <v>20</v>
      </c>
      <c r="B21" s="5"/>
      <c r="C21" s="6"/>
      <c r="D21" s="6"/>
      <c r="E21" s="6"/>
      <c r="F21" s="6"/>
      <c r="G21" s="6"/>
      <c r="H21" s="6"/>
      <c r="I21" s="13"/>
      <c r="J21">
        <f t="shared" si="0"/>
        <v>0</v>
      </c>
      <c r="K21">
        <f t="shared" si="1"/>
        <v>0</v>
      </c>
      <c r="L21" t="s">
        <v>9</v>
      </c>
    </row>
    <row r="22" spans="1:12" ht="22" customHeight="1" x14ac:dyDescent="0.35">
      <c r="A22" s="9">
        <v>21</v>
      </c>
      <c r="B22" s="3"/>
      <c r="C22" s="4"/>
      <c r="D22" s="4"/>
      <c r="E22" s="4"/>
      <c r="F22" s="4"/>
      <c r="G22" s="4"/>
      <c r="H22" s="4"/>
      <c r="I22" s="12"/>
      <c r="J22">
        <f t="shared" si="0"/>
        <v>0</v>
      </c>
      <c r="K22">
        <f t="shared" si="1"/>
        <v>0</v>
      </c>
      <c r="L22" t="s">
        <v>9</v>
      </c>
    </row>
    <row r="23" spans="1:12" ht="22" customHeight="1" x14ac:dyDescent="0.35">
      <c r="A23" s="10">
        <v>22</v>
      </c>
      <c r="B23" s="5"/>
      <c r="C23" s="6"/>
      <c r="D23" s="6"/>
      <c r="E23" s="6"/>
      <c r="F23" s="6"/>
      <c r="G23" s="6"/>
      <c r="H23" s="6"/>
      <c r="I23" s="13"/>
      <c r="J23">
        <f t="shared" si="0"/>
        <v>0</v>
      </c>
      <c r="K23">
        <f t="shared" si="1"/>
        <v>0</v>
      </c>
      <c r="L23" t="s">
        <v>9</v>
      </c>
    </row>
    <row r="24" spans="1:12" ht="22" customHeight="1" x14ac:dyDescent="0.35">
      <c r="A24" s="9">
        <v>23</v>
      </c>
      <c r="B24" s="3"/>
      <c r="C24" s="4"/>
      <c r="D24" s="4"/>
      <c r="E24" s="4"/>
      <c r="F24" s="4"/>
      <c r="G24" s="4"/>
      <c r="H24" s="4"/>
      <c r="I24" s="12"/>
      <c r="J24">
        <f t="shared" si="0"/>
        <v>0</v>
      </c>
      <c r="K24">
        <f t="shared" si="1"/>
        <v>0</v>
      </c>
      <c r="L24" t="s">
        <v>9</v>
      </c>
    </row>
    <row r="25" spans="1:12" ht="22" customHeight="1" x14ac:dyDescent="0.35">
      <c r="A25" s="10">
        <v>24</v>
      </c>
      <c r="B25" s="5"/>
      <c r="C25" s="6"/>
      <c r="D25" s="6"/>
      <c r="E25" s="6"/>
      <c r="F25" s="6"/>
      <c r="G25" s="6"/>
      <c r="H25" s="6"/>
      <c r="I25" s="13"/>
      <c r="J25">
        <f t="shared" si="0"/>
        <v>0</v>
      </c>
      <c r="K25">
        <f t="shared" si="1"/>
        <v>0</v>
      </c>
      <c r="L25" t="s">
        <v>9</v>
      </c>
    </row>
    <row r="26" spans="1:12" ht="22" customHeight="1" x14ac:dyDescent="0.35">
      <c r="A26" s="9">
        <v>25</v>
      </c>
      <c r="B26" s="3"/>
      <c r="C26" s="4"/>
      <c r="D26" s="4"/>
      <c r="E26" s="4"/>
      <c r="F26" s="4"/>
      <c r="G26" s="4"/>
      <c r="H26" s="4"/>
      <c r="I26" s="12"/>
      <c r="J26">
        <f t="shared" si="0"/>
        <v>0</v>
      </c>
      <c r="K26">
        <f t="shared" si="1"/>
        <v>0</v>
      </c>
      <c r="L26" t="s">
        <v>9</v>
      </c>
    </row>
    <row r="27" spans="1:12" ht="22" customHeight="1" x14ac:dyDescent="0.35">
      <c r="A27" s="10">
        <v>26</v>
      </c>
      <c r="B27" s="5"/>
      <c r="C27" s="6"/>
      <c r="D27" s="6"/>
      <c r="E27" s="6"/>
      <c r="F27" s="6"/>
      <c r="G27" s="6"/>
      <c r="H27" s="6"/>
      <c r="I27" s="13"/>
      <c r="J27">
        <f t="shared" si="0"/>
        <v>0</v>
      </c>
      <c r="K27">
        <f t="shared" si="1"/>
        <v>0</v>
      </c>
      <c r="L27" t="s">
        <v>9</v>
      </c>
    </row>
    <row r="28" spans="1:12" ht="22" customHeight="1" x14ac:dyDescent="0.35">
      <c r="A28" s="9">
        <v>27</v>
      </c>
      <c r="B28" s="3"/>
      <c r="C28" s="4"/>
      <c r="D28" s="4"/>
      <c r="E28" s="4"/>
      <c r="F28" s="4"/>
      <c r="G28" s="4"/>
      <c r="H28" s="4"/>
      <c r="I28" s="12"/>
      <c r="J28">
        <f t="shared" si="0"/>
        <v>0</v>
      </c>
      <c r="K28">
        <f t="shared" si="1"/>
        <v>0</v>
      </c>
      <c r="L28" t="s">
        <v>9</v>
      </c>
    </row>
    <row r="29" spans="1:12" ht="22" customHeight="1" x14ac:dyDescent="0.35">
      <c r="A29" s="10">
        <v>28</v>
      </c>
      <c r="B29" s="5"/>
      <c r="C29" s="6"/>
      <c r="D29" s="6"/>
      <c r="E29" s="6"/>
      <c r="F29" s="6"/>
      <c r="G29" s="6"/>
      <c r="H29" s="6"/>
      <c r="I29" s="13"/>
      <c r="J29">
        <f t="shared" si="0"/>
        <v>0</v>
      </c>
      <c r="K29">
        <f t="shared" si="1"/>
        <v>0</v>
      </c>
      <c r="L29" t="s">
        <v>9</v>
      </c>
    </row>
    <row r="30" spans="1:12" ht="22" customHeight="1" x14ac:dyDescent="0.35">
      <c r="A30" s="9">
        <v>29</v>
      </c>
      <c r="B30" s="3"/>
      <c r="C30" s="4"/>
      <c r="D30" s="4"/>
      <c r="E30" s="4"/>
      <c r="F30" s="4"/>
      <c r="G30" s="4"/>
      <c r="H30" s="4"/>
      <c r="I30" s="12"/>
      <c r="J30">
        <f t="shared" si="0"/>
        <v>0</v>
      </c>
      <c r="K30">
        <f t="shared" si="1"/>
        <v>0</v>
      </c>
      <c r="L30" t="s">
        <v>9</v>
      </c>
    </row>
    <row r="31" spans="1:12" ht="22" customHeight="1" x14ac:dyDescent="0.35">
      <c r="A31" s="10">
        <v>30</v>
      </c>
      <c r="B31" s="5"/>
      <c r="C31" s="6"/>
      <c r="D31" s="6"/>
      <c r="E31" s="6"/>
      <c r="F31" s="6"/>
      <c r="G31" s="6"/>
      <c r="H31" s="6"/>
      <c r="I31" s="13"/>
      <c r="J31">
        <f t="shared" si="0"/>
        <v>0</v>
      </c>
      <c r="K31">
        <f t="shared" si="1"/>
        <v>0</v>
      </c>
      <c r="L31" t="s">
        <v>9</v>
      </c>
    </row>
    <row r="32" spans="1:12" ht="22" customHeight="1" x14ac:dyDescent="0.35">
      <c r="A32" s="9">
        <v>31</v>
      </c>
      <c r="B32" s="3"/>
      <c r="C32" s="4"/>
      <c r="D32" s="4"/>
      <c r="E32" s="4"/>
      <c r="F32" s="4"/>
      <c r="G32" s="4"/>
      <c r="H32" s="4"/>
      <c r="I32" s="12"/>
      <c r="J32">
        <f t="shared" si="0"/>
        <v>0</v>
      </c>
      <c r="K32">
        <f t="shared" si="1"/>
        <v>0</v>
      </c>
      <c r="L32" t="s">
        <v>9</v>
      </c>
    </row>
    <row r="33" spans="1:12" ht="22" customHeight="1" x14ac:dyDescent="0.35">
      <c r="A33" s="10">
        <v>32</v>
      </c>
      <c r="B33" s="5"/>
      <c r="C33" s="6"/>
      <c r="D33" s="6"/>
      <c r="E33" s="6"/>
      <c r="F33" s="6"/>
      <c r="G33" s="6"/>
      <c r="H33" s="6"/>
      <c r="I33" s="13"/>
      <c r="J33">
        <f t="shared" si="0"/>
        <v>0</v>
      </c>
      <c r="K33">
        <f t="shared" si="1"/>
        <v>0</v>
      </c>
      <c r="L33" t="s">
        <v>9</v>
      </c>
    </row>
    <row r="34" spans="1:12" ht="22" customHeight="1" x14ac:dyDescent="0.35">
      <c r="A34" s="9">
        <v>33</v>
      </c>
      <c r="B34" s="3"/>
      <c r="C34" s="4"/>
      <c r="D34" s="4"/>
      <c r="E34" s="4"/>
      <c r="F34" s="4"/>
      <c r="G34" s="4"/>
      <c r="H34" s="4"/>
      <c r="I34" s="12"/>
      <c r="J34">
        <f t="shared" ref="J34:J65" si="2">C34</f>
        <v>0</v>
      </c>
      <c r="K34">
        <f t="shared" ref="K34:K65" si="3">D34</f>
        <v>0</v>
      </c>
      <c r="L34" t="s">
        <v>9</v>
      </c>
    </row>
    <row r="35" spans="1:12" ht="22" customHeight="1" x14ac:dyDescent="0.35">
      <c r="A35" s="10">
        <v>34</v>
      </c>
      <c r="B35" s="5"/>
      <c r="C35" s="6"/>
      <c r="D35" s="6"/>
      <c r="E35" s="6"/>
      <c r="F35" s="6"/>
      <c r="G35" s="6"/>
      <c r="H35" s="6"/>
      <c r="I35" s="13"/>
      <c r="J35">
        <f t="shared" si="2"/>
        <v>0</v>
      </c>
      <c r="K35">
        <f t="shared" si="3"/>
        <v>0</v>
      </c>
      <c r="L35" t="s">
        <v>9</v>
      </c>
    </row>
    <row r="36" spans="1:12" ht="22" customHeight="1" x14ac:dyDescent="0.35">
      <c r="A36" s="9">
        <v>35</v>
      </c>
      <c r="B36" s="3"/>
      <c r="C36" s="4"/>
      <c r="D36" s="4"/>
      <c r="E36" s="4"/>
      <c r="F36" s="4"/>
      <c r="G36" s="4"/>
      <c r="H36" s="4"/>
      <c r="I36" s="12"/>
      <c r="J36">
        <f t="shared" si="2"/>
        <v>0</v>
      </c>
      <c r="K36">
        <f t="shared" si="3"/>
        <v>0</v>
      </c>
      <c r="L36" t="s">
        <v>9</v>
      </c>
    </row>
    <row r="37" spans="1:12" ht="22" customHeight="1" x14ac:dyDescent="0.35">
      <c r="A37" s="10">
        <v>36</v>
      </c>
      <c r="B37" s="5"/>
      <c r="C37" s="6"/>
      <c r="D37" s="6"/>
      <c r="E37" s="6"/>
      <c r="F37" s="6"/>
      <c r="G37" s="6"/>
      <c r="H37" s="6"/>
      <c r="I37" s="13"/>
      <c r="J37">
        <f t="shared" si="2"/>
        <v>0</v>
      </c>
      <c r="K37">
        <f t="shared" si="3"/>
        <v>0</v>
      </c>
      <c r="L37" t="s">
        <v>9</v>
      </c>
    </row>
    <row r="38" spans="1:12" ht="22" customHeight="1" x14ac:dyDescent="0.35">
      <c r="A38" s="9">
        <v>37</v>
      </c>
      <c r="B38" s="3"/>
      <c r="C38" s="4"/>
      <c r="D38" s="4"/>
      <c r="E38" s="4"/>
      <c r="F38" s="4"/>
      <c r="G38" s="4"/>
      <c r="H38" s="4"/>
      <c r="I38" s="12"/>
      <c r="J38">
        <f t="shared" si="2"/>
        <v>0</v>
      </c>
      <c r="K38">
        <f t="shared" si="3"/>
        <v>0</v>
      </c>
      <c r="L38" t="s">
        <v>9</v>
      </c>
    </row>
    <row r="39" spans="1:12" ht="22" customHeight="1" x14ac:dyDescent="0.35">
      <c r="A39" s="10">
        <v>38</v>
      </c>
      <c r="B39" s="5"/>
      <c r="C39" s="6"/>
      <c r="D39" s="6"/>
      <c r="E39" s="6"/>
      <c r="F39" s="6"/>
      <c r="G39" s="6"/>
      <c r="H39" s="6"/>
      <c r="I39" s="13"/>
      <c r="J39">
        <f t="shared" si="2"/>
        <v>0</v>
      </c>
      <c r="K39">
        <f t="shared" si="3"/>
        <v>0</v>
      </c>
      <c r="L39" t="s">
        <v>9</v>
      </c>
    </row>
    <row r="40" spans="1:12" ht="22" customHeight="1" x14ac:dyDescent="0.35">
      <c r="A40" s="9">
        <v>39</v>
      </c>
      <c r="B40" s="3"/>
      <c r="C40" s="4"/>
      <c r="D40" s="4"/>
      <c r="E40" s="4"/>
      <c r="F40" s="4"/>
      <c r="G40" s="4"/>
      <c r="H40" s="4"/>
      <c r="I40" s="12"/>
      <c r="J40">
        <f t="shared" si="2"/>
        <v>0</v>
      </c>
      <c r="K40">
        <f t="shared" si="3"/>
        <v>0</v>
      </c>
      <c r="L40" t="s">
        <v>9</v>
      </c>
    </row>
    <row r="41" spans="1:12" ht="22" customHeight="1" x14ac:dyDescent="0.35">
      <c r="A41" s="10">
        <v>40</v>
      </c>
      <c r="B41" s="5"/>
      <c r="C41" s="6"/>
      <c r="D41" s="6"/>
      <c r="E41" s="6"/>
      <c r="F41" s="6"/>
      <c r="G41" s="6"/>
      <c r="H41" s="6"/>
      <c r="I41" s="13"/>
      <c r="J41">
        <f t="shared" si="2"/>
        <v>0</v>
      </c>
      <c r="K41">
        <f t="shared" si="3"/>
        <v>0</v>
      </c>
      <c r="L41" t="s">
        <v>9</v>
      </c>
    </row>
    <row r="42" spans="1:12" ht="22" customHeight="1" x14ac:dyDescent="0.35">
      <c r="A42" s="9">
        <v>41</v>
      </c>
      <c r="B42" s="3"/>
      <c r="C42" s="4"/>
      <c r="D42" s="4"/>
      <c r="E42" s="4"/>
      <c r="F42" s="4"/>
      <c r="G42" s="4"/>
      <c r="H42" s="4"/>
      <c r="I42" s="12"/>
      <c r="J42">
        <f t="shared" si="2"/>
        <v>0</v>
      </c>
      <c r="K42">
        <f t="shared" si="3"/>
        <v>0</v>
      </c>
      <c r="L42" t="s">
        <v>9</v>
      </c>
    </row>
    <row r="43" spans="1:12" ht="22" customHeight="1" x14ac:dyDescent="0.35">
      <c r="A43" s="10">
        <v>42</v>
      </c>
      <c r="B43" s="5"/>
      <c r="C43" s="6"/>
      <c r="D43" s="6"/>
      <c r="E43" s="6"/>
      <c r="F43" s="6"/>
      <c r="G43" s="6"/>
      <c r="H43" s="6"/>
      <c r="I43" s="13"/>
      <c r="J43">
        <f t="shared" si="2"/>
        <v>0</v>
      </c>
      <c r="K43">
        <f t="shared" si="3"/>
        <v>0</v>
      </c>
      <c r="L43" t="s">
        <v>9</v>
      </c>
    </row>
    <row r="44" spans="1:12" ht="22" customHeight="1" x14ac:dyDescent="0.35">
      <c r="A44" s="9">
        <v>43</v>
      </c>
      <c r="B44" s="3"/>
      <c r="C44" s="4"/>
      <c r="D44" s="4"/>
      <c r="E44" s="4"/>
      <c r="F44" s="4"/>
      <c r="G44" s="4"/>
      <c r="H44" s="4"/>
      <c r="I44" s="12"/>
      <c r="J44">
        <f t="shared" si="2"/>
        <v>0</v>
      </c>
      <c r="K44">
        <f t="shared" si="3"/>
        <v>0</v>
      </c>
      <c r="L44" t="s">
        <v>9</v>
      </c>
    </row>
    <row r="45" spans="1:12" ht="22" customHeight="1" x14ac:dyDescent="0.35">
      <c r="A45" s="10">
        <v>44</v>
      </c>
      <c r="B45" s="5"/>
      <c r="C45" s="6"/>
      <c r="D45" s="6"/>
      <c r="E45" s="6"/>
      <c r="F45" s="6"/>
      <c r="G45" s="6"/>
      <c r="H45" s="6"/>
      <c r="I45" s="13"/>
      <c r="J45">
        <f t="shared" si="2"/>
        <v>0</v>
      </c>
      <c r="K45">
        <f t="shared" si="3"/>
        <v>0</v>
      </c>
      <c r="L45" t="s">
        <v>9</v>
      </c>
    </row>
    <row r="46" spans="1:12" ht="22" customHeight="1" x14ac:dyDescent="0.35">
      <c r="A46" s="9">
        <v>45</v>
      </c>
      <c r="B46" s="3"/>
      <c r="C46" s="4"/>
      <c r="D46" s="4"/>
      <c r="E46" s="4"/>
      <c r="F46" s="4"/>
      <c r="G46" s="4"/>
      <c r="H46" s="4"/>
      <c r="I46" s="12"/>
      <c r="J46">
        <f t="shared" si="2"/>
        <v>0</v>
      </c>
      <c r="K46">
        <f t="shared" si="3"/>
        <v>0</v>
      </c>
      <c r="L46" t="s">
        <v>9</v>
      </c>
    </row>
    <row r="47" spans="1:12" ht="22" customHeight="1" x14ac:dyDescent="0.35">
      <c r="A47" s="10">
        <v>46</v>
      </c>
      <c r="B47" s="5"/>
      <c r="C47" s="6"/>
      <c r="D47" s="6"/>
      <c r="E47" s="6"/>
      <c r="F47" s="6"/>
      <c r="G47" s="6"/>
      <c r="H47" s="6"/>
      <c r="I47" s="13"/>
      <c r="J47">
        <f t="shared" si="2"/>
        <v>0</v>
      </c>
      <c r="K47">
        <f t="shared" si="3"/>
        <v>0</v>
      </c>
      <c r="L47" t="s">
        <v>9</v>
      </c>
    </row>
    <row r="48" spans="1:12" ht="22" customHeight="1" x14ac:dyDescent="0.35">
      <c r="A48" s="9">
        <v>47</v>
      </c>
      <c r="B48" s="3"/>
      <c r="C48" s="4"/>
      <c r="D48" s="4"/>
      <c r="E48" s="4"/>
      <c r="F48" s="4"/>
      <c r="G48" s="4"/>
      <c r="H48" s="4"/>
      <c r="I48" s="12"/>
      <c r="J48">
        <f t="shared" si="2"/>
        <v>0</v>
      </c>
      <c r="K48">
        <f t="shared" si="3"/>
        <v>0</v>
      </c>
      <c r="L48" t="s">
        <v>9</v>
      </c>
    </row>
    <row r="49" spans="1:12" ht="22" customHeight="1" x14ac:dyDescent="0.35">
      <c r="A49" s="10">
        <v>48</v>
      </c>
      <c r="B49" s="5"/>
      <c r="C49" s="6"/>
      <c r="D49" s="6"/>
      <c r="E49" s="6"/>
      <c r="F49" s="6"/>
      <c r="G49" s="6"/>
      <c r="H49" s="6"/>
      <c r="I49" s="13"/>
      <c r="J49">
        <f t="shared" si="2"/>
        <v>0</v>
      </c>
      <c r="K49">
        <f t="shared" si="3"/>
        <v>0</v>
      </c>
      <c r="L49" t="s">
        <v>9</v>
      </c>
    </row>
    <row r="50" spans="1:12" ht="22" customHeight="1" x14ac:dyDescent="0.35">
      <c r="A50" s="9">
        <v>49</v>
      </c>
      <c r="B50" s="3"/>
      <c r="C50" s="4"/>
      <c r="D50" s="4"/>
      <c r="E50" s="4"/>
      <c r="F50" s="4"/>
      <c r="G50" s="4"/>
      <c r="H50" s="4"/>
      <c r="I50" s="12"/>
      <c r="J50">
        <f t="shared" si="2"/>
        <v>0</v>
      </c>
      <c r="K50">
        <f t="shared" si="3"/>
        <v>0</v>
      </c>
      <c r="L50" t="s">
        <v>9</v>
      </c>
    </row>
    <row r="51" spans="1:12" ht="22" customHeight="1" x14ac:dyDescent="0.35">
      <c r="A51" s="10">
        <v>50</v>
      </c>
      <c r="B51" s="5"/>
      <c r="C51" s="6"/>
      <c r="D51" s="6"/>
      <c r="E51" s="6"/>
      <c r="F51" s="6"/>
      <c r="G51" s="6"/>
      <c r="H51" s="6"/>
      <c r="I51" s="13"/>
      <c r="J51">
        <f t="shared" si="2"/>
        <v>0</v>
      </c>
      <c r="K51">
        <f t="shared" si="3"/>
        <v>0</v>
      </c>
      <c r="L51" t="s">
        <v>9</v>
      </c>
    </row>
    <row r="52" spans="1:12" ht="22" customHeight="1" x14ac:dyDescent="0.35">
      <c r="A52" s="9">
        <v>51</v>
      </c>
      <c r="B52" s="3"/>
      <c r="C52" s="4"/>
      <c r="D52" s="4"/>
      <c r="E52" s="4"/>
      <c r="F52" s="4"/>
      <c r="G52" s="4"/>
      <c r="H52" s="4"/>
      <c r="I52" s="12"/>
      <c r="J52">
        <f t="shared" si="2"/>
        <v>0</v>
      </c>
      <c r="K52">
        <f t="shared" si="3"/>
        <v>0</v>
      </c>
      <c r="L52" t="s">
        <v>9</v>
      </c>
    </row>
    <row r="53" spans="1:12" ht="22" customHeight="1" x14ac:dyDescent="0.35">
      <c r="A53" s="10">
        <v>52</v>
      </c>
      <c r="B53" s="5"/>
      <c r="C53" s="6"/>
      <c r="D53" s="6"/>
      <c r="E53" s="6"/>
      <c r="F53" s="6"/>
      <c r="G53" s="6"/>
      <c r="H53" s="6"/>
      <c r="I53" s="13"/>
      <c r="J53">
        <f t="shared" si="2"/>
        <v>0</v>
      </c>
      <c r="K53">
        <f t="shared" si="3"/>
        <v>0</v>
      </c>
      <c r="L53" t="s">
        <v>9</v>
      </c>
    </row>
    <row r="54" spans="1:12" ht="22" customHeight="1" x14ac:dyDescent="0.35">
      <c r="A54" s="9">
        <v>53</v>
      </c>
      <c r="B54" s="3"/>
      <c r="C54" s="4"/>
      <c r="D54" s="4"/>
      <c r="E54" s="4"/>
      <c r="F54" s="4"/>
      <c r="G54" s="4"/>
      <c r="H54" s="4"/>
      <c r="I54" s="12"/>
      <c r="J54">
        <f t="shared" si="2"/>
        <v>0</v>
      </c>
      <c r="K54">
        <f t="shared" si="3"/>
        <v>0</v>
      </c>
      <c r="L54" t="s">
        <v>9</v>
      </c>
    </row>
    <row r="55" spans="1:12" ht="22" customHeight="1" x14ac:dyDescent="0.35">
      <c r="A55" s="10">
        <v>54</v>
      </c>
      <c r="B55" s="5"/>
      <c r="C55" s="6"/>
      <c r="D55" s="6"/>
      <c r="E55" s="6"/>
      <c r="F55" s="6"/>
      <c r="G55" s="6"/>
      <c r="H55" s="6"/>
      <c r="I55" s="13"/>
      <c r="J55">
        <f t="shared" si="2"/>
        <v>0</v>
      </c>
      <c r="K55">
        <f t="shared" si="3"/>
        <v>0</v>
      </c>
      <c r="L55" t="s">
        <v>9</v>
      </c>
    </row>
    <row r="56" spans="1:12" ht="22" customHeight="1" x14ac:dyDescent="0.35">
      <c r="A56" s="9">
        <v>55</v>
      </c>
      <c r="B56" s="3"/>
      <c r="C56" s="4"/>
      <c r="D56" s="4"/>
      <c r="E56" s="4"/>
      <c r="F56" s="4"/>
      <c r="G56" s="4"/>
      <c r="H56" s="4"/>
      <c r="I56" s="12"/>
      <c r="J56">
        <f t="shared" si="2"/>
        <v>0</v>
      </c>
      <c r="K56">
        <f t="shared" si="3"/>
        <v>0</v>
      </c>
      <c r="L56" t="s">
        <v>9</v>
      </c>
    </row>
    <row r="57" spans="1:12" ht="22" customHeight="1" x14ac:dyDescent="0.35">
      <c r="A57" s="10">
        <v>56</v>
      </c>
      <c r="B57" s="5"/>
      <c r="C57" s="6"/>
      <c r="D57" s="6"/>
      <c r="E57" s="6"/>
      <c r="F57" s="6"/>
      <c r="G57" s="6"/>
      <c r="H57" s="6"/>
      <c r="I57" s="13"/>
      <c r="J57">
        <f t="shared" si="2"/>
        <v>0</v>
      </c>
      <c r="K57">
        <f t="shared" si="3"/>
        <v>0</v>
      </c>
      <c r="L57" t="s">
        <v>9</v>
      </c>
    </row>
    <row r="58" spans="1:12" ht="22" customHeight="1" x14ac:dyDescent="0.35">
      <c r="A58" s="9">
        <v>57</v>
      </c>
      <c r="B58" s="3"/>
      <c r="C58" s="4"/>
      <c r="D58" s="4"/>
      <c r="E58" s="4"/>
      <c r="F58" s="4"/>
      <c r="G58" s="4"/>
      <c r="H58" s="4"/>
      <c r="I58" s="12"/>
      <c r="J58">
        <f t="shared" si="2"/>
        <v>0</v>
      </c>
      <c r="K58">
        <f t="shared" si="3"/>
        <v>0</v>
      </c>
      <c r="L58" t="s">
        <v>9</v>
      </c>
    </row>
    <row r="59" spans="1:12" ht="22" customHeight="1" x14ac:dyDescent="0.35">
      <c r="A59" s="10">
        <v>58</v>
      </c>
      <c r="B59" s="5"/>
      <c r="C59" s="6"/>
      <c r="D59" s="6"/>
      <c r="E59" s="6"/>
      <c r="F59" s="6"/>
      <c r="G59" s="6"/>
      <c r="H59" s="6"/>
      <c r="I59" s="13"/>
      <c r="J59">
        <f t="shared" si="2"/>
        <v>0</v>
      </c>
      <c r="K59">
        <f t="shared" si="3"/>
        <v>0</v>
      </c>
      <c r="L59" t="s">
        <v>9</v>
      </c>
    </row>
    <row r="60" spans="1:12" ht="22" customHeight="1" x14ac:dyDescent="0.35">
      <c r="A60" s="9">
        <v>59</v>
      </c>
      <c r="B60" s="3"/>
      <c r="C60" s="4"/>
      <c r="D60" s="4"/>
      <c r="E60" s="4"/>
      <c r="F60" s="4"/>
      <c r="G60" s="4"/>
      <c r="H60" s="4"/>
      <c r="I60" s="12"/>
      <c r="J60">
        <f t="shared" si="2"/>
        <v>0</v>
      </c>
      <c r="K60">
        <f t="shared" si="3"/>
        <v>0</v>
      </c>
      <c r="L60" t="s">
        <v>9</v>
      </c>
    </row>
    <row r="61" spans="1:12" ht="22" customHeight="1" x14ac:dyDescent="0.35">
      <c r="A61" s="10">
        <v>60</v>
      </c>
      <c r="B61" s="5"/>
      <c r="C61" s="6"/>
      <c r="D61" s="6"/>
      <c r="E61" s="6"/>
      <c r="F61" s="6"/>
      <c r="G61" s="6"/>
      <c r="H61" s="6"/>
      <c r="I61" s="13"/>
      <c r="J61">
        <f t="shared" si="2"/>
        <v>0</v>
      </c>
      <c r="K61">
        <f t="shared" si="3"/>
        <v>0</v>
      </c>
      <c r="L61" t="s">
        <v>9</v>
      </c>
    </row>
    <row r="62" spans="1:12" ht="22" customHeight="1" x14ac:dyDescent="0.35">
      <c r="A62" s="9">
        <v>61</v>
      </c>
      <c r="B62" s="3"/>
      <c r="C62" s="4"/>
      <c r="D62" s="4"/>
      <c r="E62" s="4"/>
      <c r="F62" s="4"/>
      <c r="G62" s="4"/>
      <c r="H62" s="4"/>
      <c r="I62" s="12"/>
      <c r="J62">
        <f t="shared" si="2"/>
        <v>0</v>
      </c>
      <c r="K62">
        <f t="shared" si="3"/>
        <v>0</v>
      </c>
      <c r="L62" t="s">
        <v>9</v>
      </c>
    </row>
    <row r="63" spans="1:12" ht="22" customHeight="1" x14ac:dyDescent="0.35">
      <c r="A63" s="10">
        <v>62</v>
      </c>
      <c r="B63" s="5"/>
      <c r="C63" s="6"/>
      <c r="D63" s="6"/>
      <c r="E63" s="6"/>
      <c r="F63" s="6"/>
      <c r="G63" s="6"/>
      <c r="H63" s="6"/>
      <c r="I63" s="13"/>
      <c r="J63">
        <f t="shared" si="2"/>
        <v>0</v>
      </c>
      <c r="K63">
        <f t="shared" si="3"/>
        <v>0</v>
      </c>
      <c r="L63" t="s">
        <v>9</v>
      </c>
    </row>
    <row r="64" spans="1:12" ht="22" customHeight="1" x14ac:dyDescent="0.35">
      <c r="A64" s="9">
        <v>63</v>
      </c>
      <c r="B64" s="3"/>
      <c r="C64" s="4"/>
      <c r="D64" s="4"/>
      <c r="E64" s="4"/>
      <c r="F64" s="4"/>
      <c r="G64" s="4"/>
      <c r="H64" s="4"/>
      <c r="I64" s="12"/>
      <c r="J64">
        <f t="shared" si="2"/>
        <v>0</v>
      </c>
      <c r="K64">
        <f t="shared" si="3"/>
        <v>0</v>
      </c>
      <c r="L64" t="s">
        <v>9</v>
      </c>
    </row>
    <row r="65" spans="1:12" ht="22" customHeight="1" x14ac:dyDescent="0.35">
      <c r="A65" s="10">
        <v>64</v>
      </c>
      <c r="B65" s="5"/>
      <c r="C65" s="6"/>
      <c r="D65" s="6"/>
      <c r="E65" s="6"/>
      <c r="F65" s="6"/>
      <c r="G65" s="6"/>
      <c r="H65" s="6"/>
      <c r="I65" s="13"/>
      <c r="J65">
        <f t="shared" si="2"/>
        <v>0</v>
      </c>
      <c r="K65">
        <f t="shared" si="3"/>
        <v>0</v>
      </c>
      <c r="L65" t="s">
        <v>9</v>
      </c>
    </row>
    <row r="66" spans="1:12" ht="22" customHeight="1" x14ac:dyDescent="0.35">
      <c r="A66" s="9">
        <v>65</v>
      </c>
      <c r="B66" s="3"/>
      <c r="C66" s="4"/>
      <c r="D66" s="4"/>
      <c r="E66" s="4"/>
      <c r="F66" s="4"/>
      <c r="G66" s="4"/>
      <c r="H66" s="4"/>
      <c r="I66" s="12"/>
      <c r="J66">
        <f t="shared" ref="J66:J80" si="4">C66</f>
        <v>0</v>
      </c>
      <c r="K66">
        <f t="shared" ref="K66:K80" si="5">D66</f>
        <v>0</v>
      </c>
      <c r="L66" t="s">
        <v>9</v>
      </c>
    </row>
    <row r="67" spans="1:12" ht="22" customHeight="1" x14ac:dyDescent="0.35">
      <c r="A67" s="10">
        <v>66</v>
      </c>
      <c r="B67" s="5"/>
      <c r="C67" s="6"/>
      <c r="D67" s="6"/>
      <c r="E67" s="6"/>
      <c r="F67" s="6"/>
      <c r="G67" s="6"/>
      <c r="H67" s="6"/>
      <c r="I67" s="13"/>
      <c r="J67">
        <f t="shared" si="4"/>
        <v>0</v>
      </c>
      <c r="K67">
        <f t="shared" si="5"/>
        <v>0</v>
      </c>
      <c r="L67" t="s">
        <v>9</v>
      </c>
    </row>
    <row r="68" spans="1:12" ht="22" customHeight="1" x14ac:dyDescent="0.35">
      <c r="A68" s="9">
        <v>67</v>
      </c>
      <c r="B68" s="3"/>
      <c r="C68" s="4"/>
      <c r="D68" s="4"/>
      <c r="E68" s="4"/>
      <c r="F68" s="4"/>
      <c r="G68" s="4"/>
      <c r="H68" s="4"/>
      <c r="I68" s="12"/>
      <c r="J68">
        <f t="shared" si="4"/>
        <v>0</v>
      </c>
      <c r="K68">
        <f t="shared" si="5"/>
        <v>0</v>
      </c>
      <c r="L68" t="s">
        <v>9</v>
      </c>
    </row>
    <row r="69" spans="1:12" ht="22" customHeight="1" x14ac:dyDescent="0.35">
      <c r="A69" s="10">
        <v>68</v>
      </c>
      <c r="B69" s="5"/>
      <c r="C69" s="6"/>
      <c r="D69" s="6"/>
      <c r="E69" s="6"/>
      <c r="F69" s="6"/>
      <c r="G69" s="6"/>
      <c r="H69" s="6"/>
      <c r="I69" s="13"/>
      <c r="J69">
        <f t="shared" si="4"/>
        <v>0</v>
      </c>
      <c r="K69">
        <f t="shared" si="5"/>
        <v>0</v>
      </c>
      <c r="L69" t="s">
        <v>9</v>
      </c>
    </row>
    <row r="70" spans="1:12" ht="22" customHeight="1" x14ac:dyDescent="0.35">
      <c r="A70" s="9">
        <v>69</v>
      </c>
      <c r="B70" s="3"/>
      <c r="C70" s="4"/>
      <c r="D70" s="4"/>
      <c r="E70" s="4"/>
      <c r="F70" s="4"/>
      <c r="G70" s="4"/>
      <c r="H70" s="4"/>
      <c r="I70" s="12"/>
      <c r="J70">
        <f t="shared" si="4"/>
        <v>0</v>
      </c>
      <c r="K70">
        <f t="shared" si="5"/>
        <v>0</v>
      </c>
      <c r="L70" t="s">
        <v>9</v>
      </c>
    </row>
    <row r="71" spans="1:12" ht="22" customHeight="1" x14ac:dyDescent="0.35">
      <c r="A71" s="10">
        <v>70</v>
      </c>
      <c r="B71" s="5"/>
      <c r="C71" s="6"/>
      <c r="D71" s="6"/>
      <c r="E71" s="6"/>
      <c r="F71" s="6"/>
      <c r="G71" s="6"/>
      <c r="H71" s="6"/>
      <c r="I71" s="13"/>
      <c r="J71">
        <f t="shared" si="4"/>
        <v>0</v>
      </c>
      <c r="K71">
        <f t="shared" si="5"/>
        <v>0</v>
      </c>
      <c r="L71" t="s">
        <v>9</v>
      </c>
    </row>
    <row r="72" spans="1:12" ht="22" customHeight="1" x14ac:dyDescent="0.35">
      <c r="A72" s="9">
        <v>71</v>
      </c>
      <c r="B72" s="3"/>
      <c r="C72" s="4"/>
      <c r="D72" s="4"/>
      <c r="E72" s="4"/>
      <c r="F72" s="4"/>
      <c r="G72" s="4"/>
      <c r="H72" s="4"/>
      <c r="I72" s="12"/>
      <c r="J72">
        <f t="shared" si="4"/>
        <v>0</v>
      </c>
      <c r="K72">
        <f t="shared" si="5"/>
        <v>0</v>
      </c>
      <c r="L72" t="s">
        <v>9</v>
      </c>
    </row>
    <row r="73" spans="1:12" ht="22" customHeight="1" x14ac:dyDescent="0.35">
      <c r="A73" s="10">
        <v>72</v>
      </c>
      <c r="B73" s="5"/>
      <c r="C73" s="6"/>
      <c r="D73" s="6"/>
      <c r="E73" s="6"/>
      <c r="F73" s="6"/>
      <c r="G73" s="6"/>
      <c r="H73" s="6"/>
      <c r="I73" s="13"/>
      <c r="J73">
        <f t="shared" si="4"/>
        <v>0</v>
      </c>
      <c r="K73">
        <f t="shared" si="5"/>
        <v>0</v>
      </c>
      <c r="L73" t="s">
        <v>9</v>
      </c>
    </row>
    <row r="74" spans="1:12" ht="22" customHeight="1" x14ac:dyDescent="0.35">
      <c r="A74" s="9">
        <v>73</v>
      </c>
      <c r="B74" s="3"/>
      <c r="C74" s="4"/>
      <c r="D74" s="4"/>
      <c r="E74" s="4"/>
      <c r="F74" s="4"/>
      <c r="G74" s="4"/>
      <c r="H74" s="4"/>
      <c r="I74" s="12"/>
      <c r="J74">
        <f t="shared" si="4"/>
        <v>0</v>
      </c>
      <c r="K74">
        <f t="shared" si="5"/>
        <v>0</v>
      </c>
      <c r="L74" t="s">
        <v>9</v>
      </c>
    </row>
    <row r="75" spans="1:12" ht="22" customHeight="1" x14ac:dyDescent="0.35">
      <c r="A75" s="10">
        <v>74</v>
      </c>
      <c r="B75" s="5"/>
      <c r="C75" s="6"/>
      <c r="D75" s="6"/>
      <c r="E75" s="6"/>
      <c r="F75" s="6"/>
      <c r="G75" s="6"/>
      <c r="H75" s="6"/>
      <c r="I75" s="13"/>
      <c r="J75">
        <f t="shared" si="4"/>
        <v>0</v>
      </c>
      <c r="K75">
        <f t="shared" si="5"/>
        <v>0</v>
      </c>
      <c r="L75" t="s">
        <v>9</v>
      </c>
    </row>
    <row r="76" spans="1:12" ht="22" customHeight="1" x14ac:dyDescent="0.35">
      <c r="A76" s="9">
        <v>75</v>
      </c>
      <c r="B76" s="3"/>
      <c r="C76" s="4"/>
      <c r="D76" s="4"/>
      <c r="E76" s="4"/>
      <c r="F76" s="4"/>
      <c r="G76" s="4"/>
      <c r="H76" s="4"/>
      <c r="I76" s="12"/>
      <c r="J76">
        <f t="shared" si="4"/>
        <v>0</v>
      </c>
      <c r="K76">
        <f t="shared" si="5"/>
        <v>0</v>
      </c>
      <c r="L76" t="s">
        <v>9</v>
      </c>
    </row>
    <row r="77" spans="1:12" ht="22" customHeight="1" x14ac:dyDescent="0.35">
      <c r="A77" s="10">
        <v>76</v>
      </c>
      <c r="B77" s="5"/>
      <c r="C77" s="6"/>
      <c r="D77" s="6"/>
      <c r="E77" s="6"/>
      <c r="F77" s="6"/>
      <c r="G77" s="6"/>
      <c r="H77" s="6"/>
      <c r="I77" s="13"/>
      <c r="J77">
        <f t="shared" si="4"/>
        <v>0</v>
      </c>
      <c r="K77">
        <f t="shared" si="5"/>
        <v>0</v>
      </c>
      <c r="L77" t="s">
        <v>9</v>
      </c>
    </row>
    <row r="78" spans="1:12" ht="22" customHeight="1" x14ac:dyDescent="0.35">
      <c r="A78" s="9">
        <v>77</v>
      </c>
      <c r="B78" s="3"/>
      <c r="C78" s="4"/>
      <c r="D78" s="4"/>
      <c r="E78" s="4"/>
      <c r="F78" s="4"/>
      <c r="G78" s="4"/>
      <c r="H78" s="4"/>
      <c r="I78" s="12"/>
      <c r="J78">
        <f t="shared" si="4"/>
        <v>0</v>
      </c>
      <c r="K78">
        <f t="shared" si="5"/>
        <v>0</v>
      </c>
      <c r="L78" t="s">
        <v>9</v>
      </c>
    </row>
    <row r="79" spans="1:12" ht="22" customHeight="1" x14ac:dyDescent="0.35">
      <c r="A79" s="11">
        <v>78</v>
      </c>
      <c r="B79" s="7"/>
      <c r="C79" s="8"/>
      <c r="D79" s="8"/>
      <c r="E79" s="8"/>
      <c r="F79" s="8"/>
      <c r="G79" s="8"/>
      <c r="H79" s="8"/>
      <c r="I79" s="14"/>
      <c r="J79">
        <f t="shared" si="4"/>
        <v>0</v>
      </c>
      <c r="K79">
        <f t="shared" si="5"/>
        <v>0</v>
      </c>
      <c r="L79" t="s">
        <v>9</v>
      </c>
    </row>
    <row r="80" spans="1:12" x14ac:dyDescent="0.35">
      <c r="A80" s="1">
        <v>79</v>
      </c>
      <c r="B80" s="2"/>
      <c r="C80" s="1"/>
      <c r="D80" s="1"/>
      <c r="E80" s="1"/>
      <c r="F80" s="1"/>
      <c r="G80" s="1"/>
      <c r="H80" s="1"/>
      <c r="I80" s="1"/>
      <c r="J80">
        <f t="shared" si="4"/>
        <v>0</v>
      </c>
      <c r="K80">
        <f t="shared" si="5"/>
        <v>0</v>
      </c>
      <c r="L80" t="s">
        <v>9</v>
      </c>
    </row>
  </sheetData>
  <autoFilter ref="A1:I1" xr:uid="{00000000-0009-0000-0000-000000000000}"/>
  <conditionalFormatting sqref="I2:I79">
    <cfRule type="expression" dxfId="2" priority="1">
      <formula>AND(I2&lt;&gt;"",I2=H2)</formula>
    </cfRule>
    <cfRule type="expression" dxfId="1" priority="2">
      <formula>AND(I2&lt;&gt;"",I2&lt;&gt;H2,I2&lt;&gt;"No Result")</formula>
    </cfRule>
    <cfRule type="expression" dxfId="0" priority="3">
      <formula>I2="No Result"</formula>
    </cfRule>
  </conditionalFormatting>
  <dataValidations count="6">
    <dataValidation type="list" allowBlank="1" sqref="C2:D80" xr:uid="{00000000-0002-0000-0000-000000000000}">
      <formula1>TeamsList</formula1>
    </dataValidation>
    <dataValidation type="list" allowBlank="1" sqref="E2:E80" xr:uid="{00000000-0002-0000-0000-000002000000}">
      <formula1>VenuesList</formula1>
    </dataValidation>
    <dataValidation type="list" allowBlank="1" sqref="G2:G80" xr:uid="{00000000-0002-0000-0000-000003000000}">
      <formula1>"Bat,Field"</formula1>
    </dataValidation>
    <dataValidation type="list" allowBlank="1" sqref="F2:F80 H2:H80" xr:uid="{00000000-0002-0000-0000-000004000000}">
      <formula1>$J2:$K2</formula1>
    </dataValidation>
    <dataValidation type="list" allowBlank="1" sqref="I2:I80" xr:uid="{00000000-0002-0000-0000-000006000000}">
      <formula1>$J2:$L2</formula1>
    </dataValidation>
    <dataValidation type="date" allowBlank="1" showInputMessage="1" promptTitle="Match Date" prompt="Enter date (28 Mar - 31 May 2026)" sqref="B2:B80" xr:uid="{00000000-0002-0000-0000-000007000000}">
      <formula1>2026-3-28</formula1>
      <formula2>2026-5-31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 t="s">
        <v>12</v>
      </c>
      <c r="B2" t="s">
        <v>13</v>
      </c>
    </row>
    <row r="3" spans="1:2" x14ac:dyDescent="0.35">
      <c r="A3" t="s">
        <v>14</v>
      </c>
      <c r="B3" t="s">
        <v>15</v>
      </c>
    </row>
    <row r="4" spans="1:2" x14ac:dyDescent="0.35">
      <c r="A4" t="s">
        <v>16</v>
      </c>
      <c r="B4" t="s">
        <v>17</v>
      </c>
    </row>
    <row r="5" spans="1:2" x14ac:dyDescent="0.35">
      <c r="A5" t="s">
        <v>18</v>
      </c>
      <c r="B5" t="s">
        <v>19</v>
      </c>
    </row>
    <row r="6" spans="1:2" x14ac:dyDescent="0.35">
      <c r="A6" t="s">
        <v>20</v>
      </c>
      <c r="B6" t="s">
        <v>21</v>
      </c>
    </row>
    <row r="7" spans="1:2" x14ac:dyDescent="0.35">
      <c r="A7" t="s">
        <v>22</v>
      </c>
      <c r="B7" t="s">
        <v>23</v>
      </c>
    </row>
    <row r="8" spans="1:2" x14ac:dyDescent="0.35">
      <c r="A8" t="s">
        <v>24</v>
      </c>
      <c r="B8" t="s">
        <v>25</v>
      </c>
    </row>
    <row r="9" spans="1:2" x14ac:dyDescent="0.35">
      <c r="A9" t="s">
        <v>26</v>
      </c>
      <c r="B9" t="s">
        <v>27</v>
      </c>
    </row>
    <row r="10" spans="1:2" x14ac:dyDescent="0.35">
      <c r="A10" t="s">
        <v>28</v>
      </c>
      <c r="B10" t="s">
        <v>29</v>
      </c>
    </row>
    <row r="11" spans="1:2" x14ac:dyDescent="0.35">
      <c r="B11" t="s">
        <v>30</v>
      </c>
    </row>
    <row r="12" spans="1:2" x14ac:dyDescent="0.35">
      <c r="B12" t="s">
        <v>31</v>
      </c>
    </row>
    <row r="13" spans="1:2" x14ac:dyDescent="0.35">
      <c r="B13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11" sqref="B11"/>
    </sheetView>
  </sheetViews>
  <sheetFormatPr defaultRowHeight="14.5" x14ac:dyDescent="0.35"/>
  <cols>
    <col min="1" max="1" width="34.54296875" customWidth="1"/>
    <col min="2" max="2" width="20" customWidth="1"/>
  </cols>
  <sheetData>
    <row r="1" spans="1:2" ht="36" customHeight="1" thickBot="1" x14ac:dyDescent="0.4">
      <c r="A1" s="25" t="s">
        <v>33</v>
      </c>
      <c r="B1" s="26" t="s">
        <v>34</v>
      </c>
    </row>
    <row r="2" spans="1:2" ht="28" customHeight="1" thickBot="1" x14ac:dyDescent="0.4">
      <c r="A2" s="27" t="s">
        <v>35</v>
      </c>
      <c r="B2" s="28">
        <f>COUNTA('Predictions Tracker'!C2:C200)</f>
        <v>4</v>
      </c>
    </row>
    <row r="3" spans="1:2" ht="28" customHeight="1" thickBot="1" x14ac:dyDescent="0.4">
      <c r="A3" s="27" t="s">
        <v>36</v>
      </c>
      <c r="B3" s="29">
        <f>COUNTIF('Predictions Tracker'!I2:I200,"&lt;&gt;")</f>
        <v>3</v>
      </c>
    </row>
    <row r="4" spans="1:2" ht="28" customHeight="1" thickBot="1" x14ac:dyDescent="0.4">
      <c r="A4" s="30" t="s">
        <v>37</v>
      </c>
      <c r="B4" s="31">
        <f>SUMPRODUCT(('Predictions Tracker'!H2:H200='Predictions Tracker'!I2:I200)*('Predictions Tracker'!I2:I200&lt;&gt;"")*('Predictions Tracker'!I2:I200&lt;&gt;"No Result"))</f>
        <v>3</v>
      </c>
    </row>
    <row r="5" spans="1:2" ht="28" customHeight="1" thickBot="1" x14ac:dyDescent="0.4">
      <c r="A5" s="32" t="s">
        <v>38</v>
      </c>
      <c r="B5" s="33">
        <f>B3-B4</f>
        <v>0</v>
      </c>
    </row>
    <row r="6" spans="1:2" ht="28" customHeight="1" thickBot="1" x14ac:dyDescent="0.4">
      <c r="A6" s="34" t="s">
        <v>39</v>
      </c>
      <c r="B6" s="35">
        <f>IF(B3&gt;0, ROUND(B4/B3*100,1), 0)</f>
        <v>100</v>
      </c>
    </row>
    <row r="7" spans="1:2" ht="28" customHeight="1" x14ac:dyDescent="0.35">
      <c r="A7" s="36" t="s">
        <v>40</v>
      </c>
      <c r="B7" s="37">
        <f>B2-B3</f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96BE-6FD4-4F1D-962D-5BEC243CEF97}">
  <dimension ref="A1:F4"/>
  <sheetViews>
    <sheetView workbookViewId="0"/>
  </sheetViews>
  <sheetFormatPr defaultRowHeight="14.5" x14ac:dyDescent="0.35"/>
  <cols>
    <col min="1" max="1" width="10" customWidth="1"/>
    <col min="2" max="2" width="16.36328125" customWidth="1"/>
    <col min="3" max="3" width="40" customWidth="1"/>
    <col min="4" max="4" width="29.08984375" customWidth="1"/>
    <col min="5" max="5" width="54.54296875" customWidth="1"/>
    <col min="6" max="6" width="40" customWidth="1"/>
  </cols>
  <sheetData>
    <row r="1" spans="1:6" ht="28" customHeight="1" x14ac:dyDescent="0.35">
      <c r="A1" s="23" t="s">
        <v>42</v>
      </c>
      <c r="B1" s="23" t="s">
        <v>1</v>
      </c>
      <c r="C1" s="23" t="s">
        <v>43</v>
      </c>
      <c r="D1" s="23" t="s">
        <v>44</v>
      </c>
      <c r="E1" s="23" t="s">
        <v>45</v>
      </c>
      <c r="F1" s="23" t="s">
        <v>46</v>
      </c>
    </row>
    <row r="2" spans="1:6" ht="20" customHeight="1" x14ac:dyDescent="0.35">
      <c r="A2">
        <v>1</v>
      </c>
      <c r="B2" s="24">
        <v>46112</v>
      </c>
      <c r="C2" t="s">
        <v>47</v>
      </c>
      <c r="D2" t="s">
        <v>48</v>
      </c>
      <c r="E2" t="s">
        <v>49</v>
      </c>
      <c r="F2" t="s">
        <v>50</v>
      </c>
    </row>
    <row r="3" spans="1:6" x14ac:dyDescent="0.35">
      <c r="A3">
        <v>2</v>
      </c>
      <c r="B3" s="24">
        <v>46112</v>
      </c>
      <c r="C3" t="s">
        <v>51</v>
      </c>
      <c r="D3" t="s">
        <v>52</v>
      </c>
      <c r="E3" t="s">
        <v>53</v>
      </c>
      <c r="F3" t="s">
        <v>54</v>
      </c>
    </row>
    <row r="4" spans="1:6" x14ac:dyDescent="0.35">
      <c r="A4">
        <v>3</v>
      </c>
      <c r="B4" s="24">
        <v>46112</v>
      </c>
      <c r="C4" t="s">
        <v>55</v>
      </c>
      <c r="D4" t="s">
        <v>56</v>
      </c>
      <c r="E4" t="s">
        <v>57</v>
      </c>
      <c r="F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Predictions Tracker</vt:lpstr>
      <vt:lpstr>Lists</vt:lpstr>
      <vt:lpstr>Summary</vt:lpstr>
      <vt:lpstr>Claude Log</vt:lpstr>
      <vt:lpstr>TeamsList</vt:lpstr>
      <vt:lpstr>VenuesList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Sai Teja Mothukuri</cp:lastModifiedBy>
  <dcterms:created xsi:type="dcterms:W3CDTF">2026-03-31T03:35:14Z</dcterms:created>
  <dcterms:modified xsi:type="dcterms:W3CDTF">2026-03-31T14:28:05Z</dcterms:modified>
</cp:coreProperties>
</file>